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Creditos" sheetId="1" r:id="rId4"/>
  </sheets>
  <definedNames/>
  <calcPr/>
  <extLst>
    <ext uri="GoogleSheetsCustomDataVersion2">
      <go:sheetsCustomData xmlns:go="http://customooxmlschemas.google.com/" r:id="rId5" roundtripDataChecksum="4H2Y3Jie14CQM52cBDLvSWwIx9yObIvWl3tBrOcPmf0="/>
    </ext>
  </extLst>
</workbook>
</file>

<file path=xl/sharedStrings.xml><?xml version="1.0" encoding="utf-8"?>
<sst xmlns="http://schemas.openxmlformats.org/spreadsheetml/2006/main" count="23" uniqueCount="23">
  <si>
    <t>Indice</t>
  </si>
  <si>
    <t>Cuota</t>
  </si>
  <si>
    <t>Fecha Pago</t>
  </si>
  <si>
    <t>Saldo proyectado</t>
  </si>
  <si>
    <t>Saldo real</t>
  </si>
  <si>
    <t>Abono a capital</t>
  </si>
  <si>
    <t>Interes Proyectado</t>
  </si>
  <si>
    <t>Interes Real</t>
  </si>
  <si>
    <t>Abono total Proyectado</t>
  </si>
  <si>
    <t>Abono total real</t>
  </si>
  <si>
    <t>Abono Pagado</t>
  </si>
  <si>
    <t>Acreedor del credito</t>
  </si>
  <si>
    <t>Yohan Moreno</t>
  </si>
  <si>
    <t>Monto</t>
  </si>
  <si>
    <t>Número de cuotas</t>
  </si>
  <si>
    <t>Tasa de interes</t>
  </si>
  <si>
    <t>Valor cuota fija</t>
  </si>
  <si>
    <t>Fecha de inicio</t>
  </si>
  <si>
    <t>Fecha Final</t>
  </si>
  <si>
    <t>Total A Pagar</t>
  </si>
  <si>
    <t>Total interes a pagar</t>
  </si>
  <si>
    <t>Total</t>
  </si>
  <si>
    <t>Crédito pagado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</si>
</sst>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-240A]\ #,##0;[Red][$$-240A]\ #,##0"/>
    <numFmt numFmtId="165" formatCode="#,##0.00\ &quot;€&quot;;[Red]\-#,##0.00\ &quot;€&quot;"/>
  </numFmts>
  <fonts count="7">
    <font>
      <sz val="12.0"/>
      <color theme="1"/>
      <name val="Aptos Narrow"/>
      <scheme val="minor"/>
    </font>
    <font>
      <color rgb="FFFFFFFF"/>
      <name val="Aptos Narrow"/>
      <scheme val="minor"/>
    </font>
    <font>
      <sz val="12.0"/>
      <color rgb="FFFFFFFF"/>
      <name val="Aptos Narrow"/>
    </font>
    <font>
      <color theme="1"/>
      <name val="Aptos Narrow"/>
      <scheme val="minor"/>
    </font>
    <font>
      <sz val="12.0"/>
      <color theme="1"/>
      <name val="Aptos Narrow"/>
    </font>
    <font>
      <b/>
      <sz val="12.0"/>
      <color rgb="FF002060"/>
      <name val="Aptos Narrow"/>
    </font>
    <font>
      <b/>
      <u/>
      <sz val="12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8E8E8"/>
        <bgColor rgb="FFE8E8E8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4" numFmtId="14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1" fillId="2" fontId="6" numFmtId="0" xfId="0" applyAlignment="1" applyBorder="1" applyFill="1" applyFont="1">
      <alignment horizontal="right"/>
    </xf>
    <xf borderId="2" fillId="2" fontId="4" numFmtId="0" xfId="0" applyAlignment="1" applyBorder="1" applyFont="1">
      <alignment horizontal="left"/>
    </xf>
    <xf borderId="2" fillId="2" fontId="4" numFmtId="164" xfId="0" applyAlignment="1" applyBorder="1" applyFont="1" applyNumberFormat="1">
      <alignment horizontal="left"/>
    </xf>
    <xf borderId="0" fillId="0" fontId="4" numFmtId="165" xfId="0" applyFont="1" applyNumberFormat="1"/>
    <xf borderId="0" fillId="0" fontId="4" numFmtId="0" xfId="0" applyAlignment="1" applyFont="1">
      <alignment horizontal="right"/>
    </xf>
    <xf borderId="1" fillId="3" fontId="4" numFmtId="9" xfId="0" applyAlignment="1" applyBorder="1" applyFill="1" applyFont="1" applyNumberFormat="1">
      <alignment horizontal="left"/>
    </xf>
    <xf borderId="1" fillId="3" fontId="4" numFmtId="164" xfId="0" applyAlignment="1" applyBorder="1" applyFont="1" applyNumberFormat="1">
      <alignment horizontal="left"/>
    </xf>
    <xf borderId="2" fillId="2" fontId="4" numFmtId="14" xfId="0" applyAlignment="1" applyBorder="1" applyFont="1" applyNumberFormat="1">
      <alignment horizontal="left"/>
    </xf>
    <xf borderId="1" fillId="3" fontId="4" numFmtId="14" xfId="0" applyAlignment="1" applyBorder="1" applyFont="1" applyNumberFormat="1">
      <alignment horizontal="left"/>
    </xf>
    <xf borderId="0" fillId="0" fontId="4" numFmtId="164" xfId="0" applyFont="1" applyNumberFormat="1"/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4" pivot="0" name="Formato Creditos-style">
      <tableStyleElement dxfId="1" type="headerRow"/>
      <tableStyleElement dxfId="2" type="firstRowStripe"/>
      <tableStyleElement dxfId="3" type="secondRowStripe"/>
      <tableStyleElement dxfId="3" type="totalRow"/>
    </tableStyle>
    <tableStyle count="3" pivot="0" name="Formato Credito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E1:O16" displayName="Table_1" name="Table_1" id="1">
  <tableColumns count="11">
    <tableColumn totalsRowLabel="Total" name="Indice" id="1"/>
    <tableColumn name="Cuota" id="2"/>
    <tableColumn name="Fecha Pago" id="3"/>
    <tableColumn name="Saldo proyectado" id="4"/>
    <tableColumn name="Saldo real" id="5"/>
    <tableColumn name="Abono a capital" id="6"/>
    <tableColumn totalsRowFunction="custom" name="Interes Proyectado" id="7"/>
    <tableColumn name="Interes Real" id="8"/>
    <tableColumn totalsRowFunction="custom" name="Abono total Proyectado" id="9"/>
    <tableColumn name="Abono total real" id="10"/>
    <tableColumn totalsRowFunction="custom" name="Abono Pagado" id="11"/>
  </tableColumns>
  <tableStyleInfo name="Formato Creditos-style" showColumnStripes="0" showFirstColumn="1" showLastColumn="1" showRowStripes="1"/>
</table>
</file>

<file path=xl/tables/table2.xml><?xml version="1.0" encoding="utf-8"?>
<table xmlns="http://schemas.openxmlformats.org/spreadsheetml/2006/main" ref="F18:F20" displayName="Table_2" name="Table_2" id="2">
  <tableColumns count="1">
    <tableColumn name="Crédito pagado" id="1"/>
  </tableColumns>
  <tableStyleInfo name="Formato Credito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7.67"/>
    <col customWidth="1" min="2" max="2" width="19.67"/>
    <col customWidth="1" min="3" max="4" width="2.44"/>
    <col customWidth="1" hidden="1" min="5" max="5" width="16.0"/>
    <col customWidth="1" min="6" max="15" width="11.78"/>
    <col customWidth="1" min="16" max="26" width="10.56"/>
  </cols>
  <sheetData>
    <row r="1" ht="34.5" customHeight="1">
      <c r="E1" s="1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ht="15.75" customHeight="1">
      <c r="E2" s="3">
        <v>1.0</v>
      </c>
      <c r="F2" s="4">
        <f>'Formato Creditos'!$E2</f>
        <v>1</v>
      </c>
      <c r="G2" s="5">
        <f>DATE(YEAR($B$8),MONTH($B$8)+'Formato Creditos'!$E2,DAY($B$8))</f>
        <v>45914</v>
      </c>
      <c r="H2" s="6">
        <f>+B4</f>
        <v>1200000</v>
      </c>
      <c r="I2" s="7">
        <f>+B4</f>
        <v>1200000</v>
      </c>
      <c r="J2" s="7">
        <f>IF('Formato Creditos'!$H2&lt;=0,"",IF(F2="","",$B$7))</f>
        <v>100000</v>
      </c>
      <c r="K2" s="6">
        <f t="shared" ref="K2:L2" si="1">ROUNDUP(H2*$B$6,-3)</f>
        <v>24000</v>
      </c>
      <c r="L2" s="7">
        <f t="shared" si="1"/>
        <v>24000</v>
      </c>
      <c r="M2" s="6">
        <f>IFERROR(IF('Formato Creditos'!$H2&lt;=0,"",IF(('Formato Creditos'!$H2+'Formato Creditos'!$K2)&gt;('Formato Creditos'!$J2+'Formato Creditos'!$K2),ROUNDUP(('Formato Creditos'!$J2+'Formato Creditos'!$K2),-3),ROUNDUP('Formato Creditos'!$H2+'Formato Creditos'!$K2,-3))),"")</f>
        <v>124000</v>
      </c>
      <c r="N2" s="7">
        <f>IFERROR(IF('Formato Creditos'!$I2&lt;=0,"",IF(('Formato Creditos'!$I2+'Formato Creditos'!$K2)&gt;('Formato Creditos'!$J2+'Formato Creditos'!$K2),ROUNDUP(('Formato Creditos'!$J2+'Formato Creditos'!$K2),-3),ROUNDUP('Formato Creditos'!$I2+'Formato Creditos'!$K2,-3))),"")</f>
        <v>124000</v>
      </c>
      <c r="O2" s="7">
        <f t="shared" ref="O2:O3" si="3">M2</f>
        <v>124000</v>
      </c>
    </row>
    <row r="3" ht="15.75" customHeight="1">
      <c r="A3" s="8" t="s">
        <v>11</v>
      </c>
      <c r="B3" s="9" t="s">
        <v>12</v>
      </c>
      <c r="E3" s="3">
        <v>2.0</v>
      </c>
      <c r="F3" s="4">
        <f>IFERROR(IF(ROUND(H2,-3)&lt;=0,"",'Formato Creditos'!$E3),"")</f>
        <v>2</v>
      </c>
      <c r="G3" s="5">
        <f>IFERROR(IF('Formato Creditos'!$F3="","",DATE(YEAR($B$8),MONTH($B$8)+'Formato Creditos'!$E3,DAY($B$8))),"")</f>
        <v>45944</v>
      </c>
      <c r="H3" s="6">
        <f>IFERROR(IF('Formato Creditos'!$F3="","",H2-(M2-K2)),"")</f>
        <v>1100000</v>
      </c>
      <c r="I3" s="7">
        <f>IFERROR(IF((I2-(O2-K2))&lt;=0,0,IF('Formato Creditos'!$F3="","",I2-(O2-K2))),"")</f>
        <v>1100000</v>
      </c>
      <c r="J3" s="7">
        <f>IF('Formato Creditos'!$H3&lt;=0,"",IF(F3="","",$B$7))</f>
        <v>100000</v>
      </c>
      <c r="K3" s="6">
        <f t="shared" ref="K3:L3" si="2">ROUNDUP(H3*$B$6,-3)</f>
        <v>22000</v>
      </c>
      <c r="L3" s="7">
        <f t="shared" si="2"/>
        <v>22000</v>
      </c>
      <c r="M3" s="6">
        <f>IFERROR(IF('Formato Creditos'!$H3&lt;=0,"",IF(('Formato Creditos'!$H3+'Formato Creditos'!$K3)&gt;('Formato Creditos'!$J3+'Formato Creditos'!$K3),ROUNDUP(('Formato Creditos'!$J3+'Formato Creditos'!$K3),-3),ROUNDUP('Formato Creditos'!$H3+'Formato Creditos'!$K3,-3))),"")</f>
        <v>122000</v>
      </c>
      <c r="N3" s="7">
        <f>IFERROR(IF('Formato Creditos'!$I3&lt;=0,"",IF(('Formato Creditos'!$I3+'Formato Creditos'!$K3)&gt;('Formato Creditos'!$J3+'Formato Creditos'!$K3),ROUNDUP(('Formato Creditos'!$J3+'Formato Creditos'!$K3),-3),ROUNDUP('Formato Creditos'!$I3+'Formato Creditos'!$K3,-3))),"")</f>
        <v>122000</v>
      </c>
      <c r="O3" s="7">
        <f t="shared" si="3"/>
        <v>122000</v>
      </c>
    </row>
    <row r="4" ht="15.75" customHeight="1">
      <c r="A4" s="8" t="s">
        <v>13</v>
      </c>
      <c r="B4" s="10">
        <v>1200000.0</v>
      </c>
      <c r="E4" s="3">
        <v>3.0</v>
      </c>
      <c r="F4" s="4">
        <f>IFERROR(IF(ROUND(H3,-3)&lt;=0,"",'Formato Creditos'!$E4),"")</f>
        <v>3</v>
      </c>
      <c r="G4" s="5">
        <f>IFERROR(IF('Formato Creditos'!$F4="","",DATE(YEAR($B$8),MONTH($B$8)+'Formato Creditos'!$E4,DAY($B$8))),"")</f>
        <v>45975</v>
      </c>
      <c r="H4" s="6">
        <f>IFERROR(IF('Formato Creditos'!$F4="","",H3-(M3-K3)),"")</f>
        <v>1000000</v>
      </c>
      <c r="I4" s="7">
        <f>IFERROR(IF((I3-(O3-K3))&lt;=0,0,IF('Formato Creditos'!$F4="","",I3-(O3-K3))),"")</f>
        <v>1000000</v>
      </c>
      <c r="J4" s="7">
        <f>IF('Formato Creditos'!$H4&lt;=0,"",IF(F4="","",$B$7))</f>
        <v>100000</v>
      </c>
      <c r="K4" s="6">
        <f t="shared" ref="K4:L4" si="4">ROUNDUP(H4*$B$6,-3)</f>
        <v>20000</v>
      </c>
      <c r="L4" s="7">
        <f t="shared" si="4"/>
        <v>20000</v>
      </c>
      <c r="M4" s="6">
        <f>IFERROR(IF('Formato Creditos'!$H4&lt;=0,"",IF(('Formato Creditos'!$H4+'Formato Creditos'!$K4)&gt;('Formato Creditos'!$J4+'Formato Creditos'!$K4),ROUNDUP(('Formato Creditos'!$J4+'Formato Creditos'!$K4),-3),ROUNDUP('Formato Creditos'!$H4+'Formato Creditos'!$K4,-3))),"")</f>
        <v>120000</v>
      </c>
      <c r="N4" s="7">
        <f>IFERROR(IF('Formato Creditos'!$I4&lt;=0,"",IF(('Formato Creditos'!$I4+'Formato Creditos'!$K4)&gt;('Formato Creditos'!$J4+'Formato Creditos'!$K4),ROUNDUP(('Formato Creditos'!$J4+'Formato Creditos'!$K4),-3),ROUNDUP('Formato Creditos'!$I4+'Formato Creditos'!$K4,-3))),"")</f>
        <v>120000</v>
      </c>
      <c r="O4" s="7">
        <f t="shared" ref="O4:O15" si="6">IF(F4="","",M4)</f>
        <v>120000</v>
      </c>
    </row>
    <row r="5" ht="15.75" customHeight="1">
      <c r="A5" s="8" t="s">
        <v>14</v>
      </c>
      <c r="B5" s="9">
        <v>12.0</v>
      </c>
      <c r="D5" s="11"/>
      <c r="E5" s="3">
        <v>4.0</v>
      </c>
      <c r="F5" s="4">
        <f>IFERROR(IF(ROUND(H4,-3)&lt;=0,"",'Formato Creditos'!$E5),"")</f>
        <v>4</v>
      </c>
      <c r="G5" s="5">
        <f>IFERROR(IF('Formato Creditos'!$F5="","",DATE(YEAR($B$8),MONTH($B$8)+'Formato Creditos'!$E5,DAY($B$8))),"")</f>
        <v>46005</v>
      </c>
      <c r="H5" s="6">
        <f>IFERROR(IF('Formato Creditos'!$F5="","",H4-(M4-K4)),"")</f>
        <v>900000</v>
      </c>
      <c r="I5" s="7">
        <f>IFERROR(IF((I4-(O4-K4))&lt;=0,0,IF('Formato Creditos'!$F5="","",I4-(O4-K4))),"")</f>
        <v>900000</v>
      </c>
      <c r="J5" s="7">
        <f>IF('Formato Creditos'!$H5&lt;=0,"",IF(F5="","",$B$7))</f>
        <v>100000</v>
      </c>
      <c r="K5" s="6">
        <f t="shared" ref="K5:L5" si="5">ROUNDUP(H5*$B$6,-3)</f>
        <v>18000</v>
      </c>
      <c r="L5" s="7">
        <f t="shared" si="5"/>
        <v>18000</v>
      </c>
      <c r="M5" s="6">
        <f>IFERROR(IF('Formato Creditos'!$H5&lt;=0,"",IF(('Formato Creditos'!$H5+'Formato Creditos'!$K5)&gt;('Formato Creditos'!$J5+'Formato Creditos'!$K5),ROUNDUP(('Formato Creditos'!$J5+'Formato Creditos'!$K5),-3),ROUNDUP('Formato Creditos'!$H5+'Formato Creditos'!$K5,-3))),"")</f>
        <v>118000</v>
      </c>
      <c r="N5" s="7">
        <f>IFERROR(IF('Formato Creditos'!$I5&lt;=0,"",IF(('Formato Creditos'!$I5+'Formato Creditos'!$K5)&gt;('Formato Creditos'!$J5+'Formato Creditos'!$K5),ROUNDUP(('Formato Creditos'!$J5+'Formato Creditos'!$K5),-3),ROUNDUP('Formato Creditos'!$I5+'Formato Creditos'!$K5,-3))),"")</f>
        <v>118000</v>
      </c>
      <c r="O5" s="7">
        <f t="shared" si="6"/>
        <v>118000</v>
      </c>
    </row>
    <row r="6" ht="15.75" customHeight="1">
      <c r="A6" s="12" t="s">
        <v>15</v>
      </c>
      <c r="B6" s="13">
        <v>0.02</v>
      </c>
      <c r="E6" s="3">
        <v>5.0</v>
      </c>
      <c r="F6" s="4">
        <f>IFERROR(IF(ROUND(H5,-3)&lt;=0,"",'Formato Creditos'!$E6),"")</f>
        <v>5</v>
      </c>
      <c r="G6" s="5">
        <f>IFERROR(IF('Formato Creditos'!$F6="","",DATE(YEAR($B$8),MONTH($B$8)+'Formato Creditos'!$E6,DAY($B$8))),"")</f>
        <v>46036</v>
      </c>
      <c r="H6" s="6">
        <f>IFERROR(IF('Formato Creditos'!$F6="","",H5-(M5-K5)),"")</f>
        <v>800000</v>
      </c>
      <c r="I6" s="7">
        <f>IFERROR(IF((I5-(O5-K5))&lt;=0,0,IF('Formato Creditos'!$F6="","",I5-(O5-K5))),"")</f>
        <v>800000</v>
      </c>
      <c r="J6" s="7">
        <f>IF('Formato Creditos'!$H6&lt;=0,"",IF(F6="","",$B$7))</f>
        <v>100000</v>
      </c>
      <c r="K6" s="6">
        <f t="shared" ref="K6:L6" si="7">ROUNDUP(H6*$B$6,-3)</f>
        <v>16000</v>
      </c>
      <c r="L6" s="7">
        <f t="shared" si="7"/>
        <v>16000</v>
      </c>
      <c r="M6" s="6">
        <f>IFERROR(IF('Formato Creditos'!$H6&lt;=0,"",IF(('Formato Creditos'!$H6+'Formato Creditos'!$K6)&gt;('Formato Creditos'!$J6+'Formato Creditos'!$K6),ROUNDUP(('Formato Creditos'!$J6+'Formato Creditos'!$K6),-3),ROUNDUP('Formato Creditos'!$H6+'Formato Creditos'!$K6,-3))),"")</f>
        <v>116000</v>
      </c>
      <c r="N6" s="7">
        <f>IFERROR(IF('Formato Creditos'!$I6&lt;=0,"",IF(('Formato Creditos'!$I6+'Formato Creditos'!$K6)&gt;('Formato Creditos'!$J6+'Formato Creditos'!$K6),ROUNDUP(('Formato Creditos'!$J6+'Formato Creditos'!$K6),-3),ROUNDUP('Formato Creditos'!$I6+'Formato Creditos'!$K6,-3))),"")</f>
        <v>116000</v>
      </c>
      <c r="O6" s="7">
        <f t="shared" si="6"/>
        <v>116000</v>
      </c>
    </row>
    <row r="7" ht="15.75" customHeight="1">
      <c r="A7" s="12" t="s">
        <v>16</v>
      </c>
      <c r="B7" s="14">
        <f>ROUNDUP(B4/B5,-3)</f>
        <v>100000</v>
      </c>
      <c r="E7" s="3">
        <v>6.0</v>
      </c>
      <c r="F7" s="4">
        <f>IFERROR(IF(ROUND(H6,-3)&lt;=0,"",'Formato Creditos'!$E7),"")</f>
        <v>6</v>
      </c>
      <c r="G7" s="5">
        <f>IFERROR(IF('Formato Creditos'!$F7="","",DATE(YEAR($B$8),MONTH($B$8)+'Formato Creditos'!$E7,DAY($B$8))),"")</f>
        <v>46067</v>
      </c>
      <c r="H7" s="6">
        <f>IFERROR(IF('Formato Creditos'!$F7="","",H6-(M6-K6)),"")</f>
        <v>700000</v>
      </c>
      <c r="I7" s="7">
        <f>IFERROR(IF((I6-(O6-K6))&lt;=0,0,IF('Formato Creditos'!$F7="","",I6-(O6-K6))),"")</f>
        <v>700000</v>
      </c>
      <c r="J7" s="7">
        <f>IF('Formato Creditos'!$H7&lt;=0,"",IF(F7="","",$B$7))</f>
        <v>100000</v>
      </c>
      <c r="K7" s="6">
        <f t="shared" ref="K7:L7" si="8">ROUNDUP(H7*$B$6,-3)</f>
        <v>14000</v>
      </c>
      <c r="L7" s="7">
        <f t="shared" si="8"/>
        <v>14000</v>
      </c>
      <c r="M7" s="6">
        <f>IFERROR(IF('Formato Creditos'!$H7&lt;=0,"",IF(('Formato Creditos'!$H7+'Formato Creditos'!$K7)&gt;('Formato Creditos'!$J7+'Formato Creditos'!$K7),ROUNDUP(('Formato Creditos'!$J7+'Formato Creditos'!$K7),-3),ROUNDUP('Formato Creditos'!$H7+'Formato Creditos'!$K7,-3))),"")</f>
        <v>114000</v>
      </c>
      <c r="N7" s="7">
        <f>IFERROR(IF('Formato Creditos'!$I7&lt;=0,"",IF(('Formato Creditos'!$I7+'Formato Creditos'!$K7)&gt;('Formato Creditos'!$J7+'Formato Creditos'!$K7),ROUNDUP(('Formato Creditos'!$J7+'Formato Creditos'!$K7),-3),ROUNDUP('Formato Creditos'!$I7+'Formato Creditos'!$K7,-3))),"")</f>
        <v>114000</v>
      </c>
      <c r="O7" s="7">
        <f t="shared" si="6"/>
        <v>114000</v>
      </c>
    </row>
    <row r="8" ht="15.75" customHeight="1">
      <c r="A8" s="8" t="s">
        <v>17</v>
      </c>
      <c r="B8" s="15">
        <v>45883.0</v>
      </c>
      <c r="E8" s="3">
        <v>7.0</v>
      </c>
      <c r="F8" s="4">
        <f>IFERROR(IF(ROUND(H7,-3)&lt;=0,"",'Formato Creditos'!$E8),"")</f>
        <v>7</v>
      </c>
      <c r="G8" s="5">
        <f>IFERROR(IF('Formato Creditos'!$F8="","",DATE(YEAR($B$8),MONTH($B$8)+'Formato Creditos'!$E8,DAY($B$8))),"")</f>
        <v>46095</v>
      </c>
      <c r="H8" s="6">
        <f>IFERROR(IF('Formato Creditos'!$F8="","",H7-(M7-K7)),"")</f>
        <v>600000</v>
      </c>
      <c r="I8" s="7">
        <f>IFERROR(IF((I7-(O7-K7))&lt;=0,0,IF('Formato Creditos'!$F8="","",I7-(O7-K7))),"")</f>
        <v>600000</v>
      </c>
      <c r="J8" s="7">
        <f>IF('Formato Creditos'!$H8&lt;=0,"",IF(F8="","",$B$7))</f>
        <v>100000</v>
      </c>
      <c r="K8" s="6">
        <f t="shared" ref="K8:L8" si="9">ROUNDUP(H8*$B$6,-3)</f>
        <v>12000</v>
      </c>
      <c r="L8" s="7">
        <f t="shared" si="9"/>
        <v>12000</v>
      </c>
      <c r="M8" s="6">
        <f>IFERROR(IF('Formato Creditos'!$H8&lt;=0,"",IF(('Formato Creditos'!$H8+'Formato Creditos'!$K8)&gt;('Formato Creditos'!$J8+'Formato Creditos'!$K8),ROUNDUP(('Formato Creditos'!$J8+'Formato Creditos'!$K8),-3),ROUNDUP('Formato Creditos'!$H8+'Formato Creditos'!$K8,-3))),"")</f>
        <v>112000</v>
      </c>
      <c r="N8" s="7">
        <f>IFERROR(IF('Formato Creditos'!$I8&lt;=0,"",IF(('Formato Creditos'!$I8+'Formato Creditos'!$K8)&gt;('Formato Creditos'!$J8+'Formato Creditos'!$K8),ROUNDUP(('Formato Creditos'!$J8+'Formato Creditos'!$K8),-3),ROUNDUP('Formato Creditos'!$I8+'Formato Creditos'!$K8,-3))),"")</f>
        <v>112000</v>
      </c>
      <c r="O8" s="7">
        <f t="shared" si="6"/>
        <v>112000</v>
      </c>
    </row>
    <row r="9" ht="15.75" customHeight="1">
      <c r="A9" s="12" t="s">
        <v>18</v>
      </c>
      <c r="B9" s="16">
        <f>+B8+DATE(0,B5,-1)</f>
        <v>46217</v>
      </c>
      <c r="E9" s="3">
        <v>8.0</v>
      </c>
      <c r="F9" s="4">
        <f>IFERROR(IF(ROUND(H8,-3)&lt;=0,"",'Formato Creditos'!$E9),"")</f>
        <v>8</v>
      </c>
      <c r="G9" s="5">
        <f>IFERROR(IF('Formato Creditos'!$F9="","",DATE(YEAR($B$8),MONTH($B$8)+'Formato Creditos'!$E9,DAY($B$8))),"")</f>
        <v>46126</v>
      </c>
      <c r="H9" s="6">
        <f>IFERROR(IF('Formato Creditos'!$F9="","",H8-(M8-K8)),"")</f>
        <v>500000</v>
      </c>
      <c r="I9" s="7">
        <f>IFERROR(IF((I8-(O8-K8))&lt;=0,0,IF('Formato Creditos'!$F9="","",I8-(O8-K8))),"")</f>
        <v>500000</v>
      </c>
      <c r="J9" s="7">
        <f>IF('Formato Creditos'!$H9&lt;=0,"",IF(F9="","",$B$7))</f>
        <v>100000</v>
      </c>
      <c r="K9" s="6">
        <f t="shared" ref="K9:L9" si="10">ROUNDUP(H9*$B$6,-3)</f>
        <v>10000</v>
      </c>
      <c r="L9" s="7">
        <f t="shared" si="10"/>
        <v>10000</v>
      </c>
      <c r="M9" s="6">
        <f>IFERROR(IF('Formato Creditos'!$H9&lt;=0,"",IF(('Formato Creditos'!$H9+'Formato Creditos'!$K9)&gt;('Formato Creditos'!$J9+'Formato Creditos'!$K9),ROUNDUP(('Formato Creditos'!$J9+'Formato Creditos'!$K9),-3),ROUNDUP('Formato Creditos'!$H9+'Formato Creditos'!$K9,-3))),"")</f>
        <v>110000</v>
      </c>
      <c r="N9" s="7">
        <f>IFERROR(IF('Formato Creditos'!$I9&lt;=0,"",IF(('Formato Creditos'!$I9+'Formato Creditos'!$K9)&gt;('Formato Creditos'!$J9+'Formato Creditos'!$K9),ROUNDUP(('Formato Creditos'!$J9+'Formato Creditos'!$K9),-3),ROUNDUP('Formato Creditos'!$I9+'Formato Creditos'!$K9,-3))),"")</f>
        <v>110000</v>
      </c>
      <c r="O9" s="7">
        <f t="shared" si="6"/>
        <v>110000</v>
      </c>
    </row>
    <row r="10" ht="15.75" customHeight="1">
      <c r="A10" s="12" t="s">
        <v>19</v>
      </c>
      <c r="B10" s="14">
        <f>'Formato Creditos'!$O$16</f>
        <v>1356000</v>
      </c>
      <c r="E10" s="3">
        <v>9.0</v>
      </c>
      <c r="F10" s="4">
        <f>IFERROR(IF(ROUND(H9,-3)&lt;=0,"",'Formato Creditos'!$E10),"")</f>
        <v>9</v>
      </c>
      <c r="G10" s="5">
        <f>IFERROR(IF('Formato Creditos'!$F10="","",DATE(YEAR($B$8),MONTH($B$8)+'Formato Creditos'!$E10,DAY($B$8))),"")</f>
        <v>46156</v>
      </c>
      <c r="H10" s="6">
        <f>IFERROR(IF('Formato Creditos'!$F10="","",H9-(M9-K9)),"")</f>
        <v>400000</v>
      </c>
      <c r="I10" s="7">
        <f>IFERROR(IF((I9-(O9-K9))&lt;=0,0,IF('Formato Creditos'!$F10="","",I9-(O9-K9))),"")</f>
        <v>400000</v>
      </c>
      <c r="J10" s="7">
        <f>IF('Formato Creditos'!$H10&lt;=0,"",IF(F10="","",$B$7))</f>
        <v>100000</v>
      </c>
      <c r="K10" s="6">
        <f t="shared" ref="K10:K15" si="11">IF(F10="","",H10*$B$6)</f>
        <v>8000</v>
      </c>
      <c r="L10" s="7">
        <f t="shared" ref="L10:L15" si="12">IF(F10="","",I10*$B$6)</f>
        <v>8000</v>
      </c>
      <c r="M10" s="6">
        <f>IFERROR(IF('Formato Creditos'!$H10&lt;=0,"",IF(('Formato Creditos'!$H10+'Formato Creditos'!$K10)&gt;('Formato Creditos'!$J10+'Formato Creditos'!$K10),ROUNDUP(('Formato Creditos'!$J10+'Formato Creditos'!$K10),-3),ROUNDUP('Formato Creditos'!$H10+'Formato Creditos'!$K10,-3))),"")</f>
        <v>108000</v>
      </c>
      <c r="N10" s="7">
        <f>IFERROR(IF('Formato Creditos'!$I10&lt;=0,"",IF(('Formato Creditos'!$I10+'Formato Creditos'!$K10)&gt;('Formato Creditos'!$J10+'Formato Creditos'!$K10),ROUNDUP(('Formato Creditos'!$J10+'Formato Creditos'!$K10),-3),ROUNDUP('Formato Creditos'!$I10+'Formato Creditos'!$K10,-3))),"")</f>
        <v>108000</v>
      </c>
      <c r="O10" s="7">
        <f t="shared" si="6"/>
        <v>108000</v>
      </c>
    </row>
    <row r="11" ht="15.75" customHeight="1">
      <c r="A11" s="12" t="s">
        <v>20</v>
      </c>
      <c r="B11" s="14">
        <f>'Formato Creditos'!$K$16</f>
        <v>156000</v>
      </c>
      <c r="E11" s="3">
        <v>10.0</v>
      </c>
      <c r="F11" s="4">
        <f>IFERROR(IF(ROUND(H10,-3)&lt;=0,"",'Formato Creditos'!$E11),"")</f>
        <v>10</v>
      </c>
      <c r="G11" s="5">
        <f>IFERROR(IF('Formato Creditos'!$F11="","",DATE(YEAR($B$8),MONTH($B$8)+'Formato Creditos'!$E11,DAY($B$8))),"")</f>
        <v>46187</v>
      </c>
      <c r="H11" s="6">
        <f>IFERROR(IF('Formato Creditos'!$F11="","",H10-(M10-K10)),"")</f>
        <v>300000</v>
      </c>
      <c r="I11" s="7">
        <f>IFERROR(IF((I10-(O10-K10))&lt;=0,0,IF('Formato Creditos'!$F11="","",I10-(O10-K10))),"")</f>
        <v>300000</v>
      </c>
      <c r="J11" s="7">
        <f>IF('Formato Creditos'!$H11&lt;=0,"",IF(F11="","",$B$7))</f>
        <v>100000</v>
      </c>
      <c r="K11" s="6">
        <f t="shared" si="11"/>
        <v>6000</v>
      </c>
      <c r="L11" s="7">
        <f t="shared" si="12"/>
        <v>6000</v>
      </c>
      <c r="M11" s="6">
        <f>IFERROR(IF('Formato Creditos'!$H11&lt;=0,"",IF(('Formato Creditos'!$H11+'Formato Creditos'!$K11)&gt;('Formato Creditos'!$J11+'Formato Creditos'!$K11),ROUNDUP(('Formato Creditos'!$J11+'Formato Creditos'!$K11),-3),ROUNDUP('Formato Creditos'!$H11+'Formato Creditos'!$K11,-3))),"")</f>
        <v>106000</v>
      </c>
      <c r="N11" s="7">
        <f>IFERROR(IF('Formato Creditos'!$I11&lt;=0,"",IF(('Formato Creditos'!$I11+'Formato Creditos'!$K11)&gt;('Formato Creditos'!$J11+'Formato Creditos'!$K11),ROUNDUP(('Formato Creditos'!$J11+'Formato Creditos'!$K11),-3),ROUNDUP('Formato Creditos'!$I11+'Formato Creditos'!$K11,-3))),"")</f>
        <v>106000</v>
      </c>
      <c r="O11" s="7">
        <f t="shared" si="6"/>
        <v>106000</v>
      </c>
    </row>
    <row r="12" ht="15.75" customHeight="1">
      <c r="E12" s="3">
        <v>11.0</v>
      </c>
      <c r="F12" s="4">
        <f>IFERROR(IF(ROUND(H11,-3)&lt;=0,"",'Formato Creditos'!$E12),"")</f>
        <v>11</v>
      </c>
      <c r="G12" s="5">
        <f>IFERROR(IF('Formato Creditos'!$F12="","",DATE(YEAR($B$8),MONTH($B$8)+'Formato Creditos'!$E12,DAY($B$8))),"")</f>
        <v>46217</v>
      </c>
      <c r="H12" s="6">
        <f>IFERROR(IF('Formato Creditos'!$F12="","",H11-(M11-K11)),"")</f>
        <v>200000</v>
      </c>
      <c r="I12" s="7">
        <f>IFERROR(IF((I11-(O11-K11))&lt;=0,0,IF('Formato Creditos'!$F12="","",I11-(O11-K11))),"")</f>
        <v>200000</v>
      </c>
      <c r="J12" s="7">
        <f>IF('Formato Creditos'!$H12&lt;=0,"",IF(F12="","",$B$7))</f>
        <v>100000</v>
      </c>
      <c r="K12" s="6">
        <f t="shared" si="11"/>
        <v>4000</v>
      </c>
      <c r="L12" s="7">
        <f t="shared" si="12"/>
        <v>4000</v>
      </c>
      <c r="M12" s="6">
        <f>IFERROR(IF('Formato Creditos'!$H12&lt;=0,"",IF(('Formato Creditos'!$H12+'Formato Creditos'!$K12)&gt;('Formato Creditos'!$J12+'Formato Creditos'!$K12),ROUNDUP(('Formato Creditos'!$J12+'Formato Creditos'!$K12),-3),ROUNDUP('Formato Creditos'!$H12+'Formato Creditos'!$K12,-3))),"")</f>
        <v>104000</v>
      </c>
      <c r="N12" s="7">
        <f>IFERROR(IF('Formato Creditos'!$I12&lt;=0,"",IF(('Formato Creditos'!$I12+'Formato Creditos'!$K12)&gt;('Formato Creditos'!$J12+'Formato Creditos'!$K12),ROUNDUP(('Formato Creditos'!$J12+'Formato Creditos'!$K12),-3),ROUNDUP('Formato Creditos'!$I12+'Formato Creditos'!$K12,-3))),"")</f>
        <v>104000</v>
      </c>
      <c r="O12" s="7">
        <f t="shared" si="6"/>
        <v>104000</v>
      </c>
    </row>
    <row r="13" ht="15.75" customHeight="1">
      <c r="E13" s="3">
        <v>30.0</v>
      </c>
      <c r="F13" s="4">
        <f>IFERROR(IF(ROUND(H12,-3)&lt;=0,"",'Formato Creditos'!$E13),"")</f>
        <v>30</v>
      </c>
      <c r="G13" s="5">
        <f>IFERROR(IF('Formato Creditos'!$F13="","",DATE(YEAR($B$8),MONTH($B$8)+'Formato Creditos'!$E13,DAY($B$8))),"")</f>
        <v>46797</v>
      </c>
      <c r="H13" s="6">
        <f>IFERROR(IF('Formato Creditos'!$F13="","",H12-(M12-K12)),"")</f>
        <v>100000</v>
      </c>
      <c r="I13" s="7">
        <f>IFERROR(IF((I12-(O12-K12))&lt;=0,0,IF('Formato Creditos'!$F13="","",I12-(O12-K12))),"")</f>
        <v>100000</v>
      </c>
      <c r="J13" s="7">
        <f>IF('Formato Creditos'!$H13&lt;=0,"",IF(F13="","",$B$7))</f>
        <v>100000</v>
      </c>
      <c r="K13" s="6">
        <f t="shared" si="11"/>
        <v>2000</v>
      </c>
      <c r="L13" s="7">
        <f t="shared" si="12"/>
        <v>2000</v>
      </c>
      <c r="M13" s="6">
        <f>IFERROR(IF('Formato Creditos'!$H13&lt;=0,"",IF(('Formato Creditos'!$H13+'Formato Creditos'!$K13)&gt;('Formato Creditos'!$J13+'Formato Creditos'!$K13),ROUNDUP(('Formato Creditos'!$J13+'Formato Creditos'!$K13),-3),ROUNDUP('Formato Creditos'!$H13+'Formato Creditos'!$K13,-3))),"")</f>
        <v>102000</v>
      </c>
      <c r="N13" s="7">
        <f>IFERROR(IF('Formato Creditos'!$I13&lt;=0,"",IF(('Formato Creditos'!$I13+'Formato Creditos'!$K13)&gt;('Formato Creditos'!$J13+'Formato Creditos'!$K13),ROUNDUP(('Formato Creditos'!$J13+'Formato Creditos'!$K13),-3),ROUNDUP('Formato Creditos'!$I13+'Formato Creditos'!$K13,-3))),"")</f>
        <v>102000</v>
      </c>
      <c r="O13" s="7">
        <f t="shared" si="6"/>
        <v>102000</v>
      </c>
    </row>
    <row r="14" ht="15.75" customHeight="1">
      <c r="E14" s="3">
        <v>31.0</v>
      </c>
      <c r="F14" s="4">
        <f>IFERROR(IF(ROUND(H13,-3)&lt;=0,"",'Formato Creditos'!$E14),"")</f>
        <v>31</v>
      </c>
      <c r="G14" s="5">
        <f>IFERROR(IF('Formato Creditos'!$F14="","",DATE(YEAR($B$8),MONTH($B$8)+'Formato Creditos'!$E14,DAY($B$8))),"")</f>
        <v>46826</v>
      </c>
      <c r="H14" s="6">
        <f>IFERROR(IF('Formato Creditos'!$F14="","",H13-(M13-K13)),"")</f>
        <v>0</v>
      </c>
      <c r="I14" s="7">
        <f>IFERROR(IF((I13-(O13-K13))&lt;=0,0,IF('Formato Creditos'!$F14="","",I13-(O13-K13))),"")</f>
        <v>0</v>
      </c>
      <c r="J14" s="7" t="str">
        <f>IF('Formato Creditos'!$H14&lt;=0,"",IF(F14="","",$B$7))</f>
        <v/>
      </c>
      <c r="K14" s="6">
        <f t="shared" si="11"/>
        <v>0</v>
      </c>
      <c r="L14" s="7">
        <f t="shared" si="12"/>
        <v>0</v>
      </c>
      <c r="M14" s="6" t="str">
        <f>IFERROR(IF('Formato Creditos'!$H14&lt;=0,"",IF(('Formato Creditos'!$H14+'Formato Creditos'!$K14)&gt;('Formato Creditos'!$J14+'Formato Creditos'!$K14),ROUNDUP(('Formato Creditos'!$J14+'Formato Creditos'!$K14),-3),ROUNDUP('Formato Creditos'!$H14+'Formato Creditos'!$K14,-3))),"")</f>
        <v/>
      </c>
      <c r="N14" s="7" t="str">
        <f>IFERROR(IF('Formato Creditos'!$I14&lt;=0,"",IF(('Formato Creditos'!$I14+'Formato Creditos'!$K14)&gt;('Formato Creditos'!$J14+'Formato Creditos'!$K14),ROUNDUP(('Formato Creditos'!$J14+'Formato Creditos'!$K14),-3),ROUNDUP('Formato Creditos'!$I14+'Formato Creditos'!$K14,-3))),"")</f>
        <v/>
      </c>
      <c r="O14" s="7" t="str">
        <f t="shared" si="6"/>
        <v/>
      </c>
    </row>
    <row r="15" ht="15.75" customHeight="1">
      <c r="E15" s="3">
        <v>32.0</v>
      </c>
      <c r="F15" s="4" t="str">
        <f>IFERROR(IF(ROUND(H14,-3)&lt;=0,"",'Formato Creditos'!$E15),"")</f>
        <v/>
      </c>
      <c r="G15" s="5" t="str">
        <f>IFERROR(IF('Formato Creditos'!$F15="","",DATE(YEAR($B$8),MONTH($B$8)+'Formato Creditos'!$E15,DAY($B$8))),"")</f>
        <v/>
      </c>
      <c r="H15" s="6" t="str">
        <f>IFERROR(IF('Formato Creditos'!$F15="","",H14-(M14-K14)),"")</f>
        <v/>
      </c>
      <c r="I15" s="7">
        <f>IFERROR(IF((I14-(O14-K14))&lt;=0,0,IF('Formato Creditos'!$F15="","",I14-(O14-K14))),"")</f>
        <v>0</v>
      </c>
      <c r="J15" s="7" t="str">
        <f>IF('Formato Creditos'!$H15&lt;=0,"",IF(F15="","",$B$7))</f>
        <v/>
      </c>
      <c r="K15" s="6" t="str">
        <f t="shared" si="11"/>
        <v/>
      </c>
      <c r="L15" s="7" t="str">
        <f t="shared" si="12"/>
        <v/>
      </c>
      <c r="M15" s="6">
        <f>IFERROR(IF('Formato Creditos'!$H15&lt;=0,"",IF(('Formato Creditos'!$H15+'Formato Creditos'!$K15)&gt;('Formato Creditos'!$J15+'Formato Creditos'!$K15),ROUNDUP(('Formato Creditos'!$J15+'Formato Creditos'!$K15),-3),ROUNDUP('Formato Creditos'!$H15+'Formato Creditos'!$K15,-3))),"")</f>
        <v>0</v>
      </c>
      <c r="N15" s="7" t="str">
        <f>IFERROR(IF('Formato Creditos'!$I15&lt;=0,"",IF(('Formato Creditos'!$I15+'Formato Creditos'!$K15)&gt;('Formato Creditos'!$J15+'Formato Creditos'!$K15),ROUNDUP(('Formato Creditos'!$J15+'Formato Creditos'!$K15),-3),ROUNDUP('Formato Creditos'!$I15+'Formato Creditos'!$K15,-3))),"")</f>
        <v/>
      </c>
      <c r="O15" s="7" t="str">
        <f t="shared" si="6"/>
        <v/>
      </c>
    </row>
    <row r="16" ht="15.75" customHeight="1">
      <c r="E16" s="3" t="s">
        <v>21</v>
      </c>
      <c r="F16" s="3"/>
      <c r="G16" s="3"/>
      <c r="H16" s="3"/>
      <c r="I16" s="3"/>
      <c r="J16" s="3"/>
      <c r="K16" s="17">
        <f>SUBTOTAL(109,'Formato Creditos'!$K$2:$K$15)</f>
        <v>156000</v>
      </c>
      <c r="L16" s="17"/>
      <c r="M16" s="17">
        <f>SUBTOTAL(109,'Formato Creditos'!$M$2:$M$15)</f>
        <v>1356000</v>
      </c>
      <c r="N16" s="17"/>
      <c r="O16" s="17">
        <f>SUBTOTAL(109,'Formato Creditos'!$O$2:$O$15)</f>
        <v>1356000</v>
      </c>
    </row>
    <row r="17" ht="15.75" customHeight="1"/>
    <row r="18" ht="15.75" customHeight="1">
      <c r="F18" s="18" t="s">
        <v>22</v>
      </c>
    </row>
    <row r="19" ht="15.75" customHeight="1">
      <c r="F19" s="17">
        <f>SUM(J2:J6)</f>
        <v>500000</v>
      </c>
    </row>
    <row r="20" ht="15.75" customHeight="1">
      <c r="F20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2025-01-07T11:23:30Z</dcterms:created>
  <dc:creator>Yohan Axel Moreno Sanchez</dc:creator>
</cp:coreProperties>
</file>